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os" sheetId="1" state="visible" r:id="rId1"/>
    <sheet name="Embudo" sheetId="2" state="visible" r:id="rId2"/>
    <sheet name="Cómo usar" sheetId="3" state="visible" r:id="rId3"/>
  </sheets>
  <definedNames>
    <definedName name="_xlnm._FilterDatabase" localSheetId="0" hidden="1">'Prospectos'!$A$1:$L$1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15E59"/>
      <sz val="15"/>
    </font>
    <font>
      <color rgb="0064748B"/>
      <sz val="10"/>
    </font>
    <font>
      <b val="1"/>
    </font>
    <font>
      <i val="1"/>
      <color rgb="0064748B"/>
    </font>
    <font>
      <sz val="11"/>
    </font>
    <font>
      <b val="1"/>
      <color rgb="00115E59"/>
      <sz val="12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6" customWidth="1" min="4" max="4"/>
    <col width="13" customWidth="1" min="5" max="5"/>
    <col width="16" customWidth="1" min="6" max="6"/>
    <col width="12" customWidth="1" min="7" max="7"/>
    <col width="16" customWidth="1" min="8" max="8"/>
    <col width="16" customWidth="1" min="9" max="9"/>
    <col width="34" customWidth="1" min="10" max="10"/>
    <col width="16" customWidth="1" min="11" max="11"/>
    <col width="13" customWidth="1" min="12" max="12"/>
  </cols>
  <sheetData>
    <row r="1" ht="30" customHeight="1">
      <c r="A1" s="1" t="inlineStr">
        <is>
          <t>Negocio</t>
        </is>
      </c>
      <c r="B1" s="1" t="inlineStr">
        <is>
          <t>Barrio / Zona</t>
        </is>
      </c>
      <c r="C1" s="1" t="inlineStr">
        <is>
          <t>WhatsApp / Tel</t>
        </is>
      </c>
      <c r="D1" s="1" t="inlineStr">
        <is>
          <t>Instagram</t>
        </is>
      </c>
      <c r="E1" s="1" t="inlineStr">
        <is>
          <t>Reseñas Google</t>
        </is>
      </c>
      <c r="F1" s="1" t="inlineStr">
        <is>
          <t>¿Ya tiene sistema?</t>
        </is>
      </c>
      <c r="G1" s="1" t="inlineStr">
        <is>
          <t>Score (0-100)</t>
        </is>
      </c>
      <c r="H1" s="1" t="inlineStr">
        <is>
          <t>Estado</t>
        </is>
      </c>
      <c r="I1" s="1" t="inlineStr">
        <is>
          <t>Dueño/a</t>
        </is>
      </c>
      <c r="J1" s="1" t="inlineStr">
        <is>
          <t>Notas</t>
        </is>
      </c>
      <c r="K1" s="1" t="inlineStr">
        <is>
          <t>Próximo contacto</t>
        </is>
      </c>
      <c r="L1" s="1" t="inlineStr">
        <is>
          <t>Fuente</t>
        </is>
      </c>
    </row>
    <row r="2">
      <c r="A2" s="2" t="inlineStr">
        <is>
          <t>Peluquería Marcela</t>
        </is>
      </c>
      <c r="B2" s="3" t="inlineStr">
        <is>
          <t>Nueva Córdoba</t>
        </is>
      </c>
      <c r="C2" s="3" t="inlineStr">
        <is>
          <t>+54 351 555-1234</t>
        </is>
      </c>
      <c r="D2" s="3" t="inlineStr">
        <is>
          <t>@marcelahair</t>
        </is>
      </c>
      <c r="E2" s="3" t="n">
        <v>120</v>
      </c>
      <c r="F2" s="3" t="inlineStr">
        <is>
          <t>No</t>
        </is>
      </c>
      <c r="G2" s="3" t="n">
        <v>85</v>
      </c>
      <c r="H2" s="3" t="inlineStr">
        <is>
          <t>Demo agendada</t>
        </is>
      </c>
      <c r="I2" s="3" t="inlineStr">
        <is>
          <t>Marcela</t>
        </is>
      </c>
      <c r="J2" s="2" t="inlineStr">
        <is>
          <t>IG activo, mucho movimiento. Pierde turnos los lunes.</t>
        </is>
      </c>
      <c r="K2" s="3" t="inlineStr">
        <is>
          <t>2026-06-25</t>
        </is>
      </c>
      <c r="L2" s="3" t="inlineStr">
        <is>
          <t>Visita</t>
        </is>
      </c>
    </row>
    <row r="3">
      <c r="A3" s="2" t="inlineStr">
        <is>
          <t>Studio Belleza Cba</t>
        </is>
      </c>
      <c r="B3" s="3" t="inlineStr">
        <is>
          <t>Cerro de las Rosas</t>
        </is>
      </c>
      <c r="C3" s="3" t="inlineStr">
        <is>
          <t>+54 351 555-9876</t>
        </is>
      </c>
      <c r="D3" s="3" t="inlineStr">
        <is>
          <t>@studiobellezacba</t>
        </is>
      </c>
      <c r="E3" s="3" t="n">
        <v>60</v>
      </c>
      <c r="F3" s="3" t="inlineStr">
        <is>
          <t>Sí</t>
        </is>
      </c>
      <c r="G3" s="3" t="inlineStr">
        <is>
          <t>40</t>
        </is>
      </c>
      <c r="H3" s="3" t="inlineStr">
        <is>
          <t>Contactado</t>
        </is>
      </c>
      <c r="I3" s="3" t="inlineStr">
        <is>
          <t>Romina</t>
        </is>
      </c>
      <c r="J3" s="2" t="inlineStr">
        <is>
          <t>Usa AgendaPro pero el WhatsApp lo maneja a mano.</t>
        </is>
      </c>
      <c r="K3" s="3" t="inlineStr">
        <is>
          <t>2026-06-24</t>
        </is>
      </c>
      <c r="L3" s="3" t="inlineStr">
        <is>
          <t>IG</t>
        </is>
      </c>
    </row>
    <row r="4">
      <c r="A4" s="2" t="inlineStr">
        <is>
          <t>Barbería El Corte</t>
        </is>
      </c>
      <c r="B4" s="3" t="inlineStr">
        <is>
          <t>Alberdi</t>
        </is>
      </c>
      <c r="C4" s="3" t="inlineStr">
        <is>
          <t>+54 351 555-4567</t>
        </is>
      </c>
      <c r="D4" s="3" t="inlineStr">
        <is>
          <t>@elcorte.bb</t>
        </is>
      </c>
      <c r="E4" s="3" t="n">
        <v>200</v>
      </c>
      <c r="F4" s="3" t="inlineStr">
        <is>
          <t>No</t>
        </is>
      </c>
      <c r="G4" s="3" t="n">
        <v>90</v>
      </c>
      <c r="H4" s="3" t="inlineStr">
        <is>
          <t>Nuevo</t>
        </is>
      </c>
      <c r="I4" s="3" t="inlineStr">
        <is>
          <t>Diego</t>
        </is>
      </c>
      <c r="J4" s="2" t="inlineStr">
        <is>
          <t>200 reseñas, sin sistema. PRIORIDAD.</t>
        </is>
      </c>
      <c r="K4" s="3" t="inlineStr">
        <is>
          <t>2026-06-23</t>
        </is>
      </c>
      <c r="L4" s="3" t="inlineStr">
        <is>
          <t>Maps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</sheetData>
  <autoFilter ref="A1:L1"/>
  <dataValidations count="3">
    <dataValidation sqref="H2:H500" showDropDown="0" showInputMessage="0" showErrorMessage="0" allowBlank="1" type="list">
      <formula1>"Nuevo,Contactado,Respondió,Demo agendada,Demo hecha,Negociando,Cliente,Perdido,No molestar"</formula1>
    </dataValidation>
    <dataValidation sqref="F2:F500" showDropDown="0" showInputMessage="0" showErrorMessage="0" allowBlank="1" type="list">
      <formula1>"Sí,No,?"</formula1>
    </dataValidation>
    <dataValidation sqref="L2:L500" showDropDown="0" showInputMessage="0" showErrorMessage="0" allowBlank="1" type="list">
      <formula1>"Visita,IG,WhatsApp,Referido,Maps,Otro"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Embudo de ventas</t>
        </is>
      </c>
    </row>
    <row r="2">
      <c r="A2" s="6" t="inlineStr">
        <is>
          <t>Se actualiza solo a medida que cargás el Estado en la hoja Prospectos.</t>
        </is>
      </c>
    </row>
    <row r="4">
      <c r="A4" s="1" t="inlineStr">
        <is>
          <t>Estado</t>
        </is>
      </c>
      <c r="B4" s="1" t="inlineStr">
        <is>
          <t>Cantidad</t>
        </is>
      </c>
    </row>
    <row r="5">
      <c r="A5" s="4" t="inlineStr">
        <is>
          <t>Nuevo</t>
        </is>
      </c>
      <c r="B5" s="3">
        <f>COUNTIF(Prospectos!$H:$H,A5)</f>
        <v/>
      </c>
    </row>
    <row r="6">
      <c r="A6" s="4" t="inlineStr">
        <is>
          <t>Contactado</t>
        </is>
      </c>
      <c r="B6" s="3">
        <f>COUNTIF(Prospectos!$H:$H,A6)</f>
        <v/>
      </c>
    </row>
    <row r="7">
      <c r="A7" s="4" t="inlineStr">
        <is>
          <t>Respondió</t>
        </is>
      </c>
      <c r="B7" s="3">
        <f>COUNTIF(Prospectos!$H:$H,A7)</f>
        <v/>
      </c>
    </row>
    <row r="8">
      <c r="A8" s="4" t="inlineStr">
        <is>
          <t>Demo agendada</t>
        </is>
      </c>
      <c r="B8" s="3">
        <f>COUNTIF(Prospectos!$H:$H,A8)</f>
        <v/>
      </c>
    </row>
    <row r="9">
      <c r="A9" s="4" t="inlineStr">
        <is>
          <t>Demo hecha</t>
        </is>
      </c>
      <c r="B9" s="3">
        <f>COUNTIF(Prospectos!$H:$H,A9)</f>
        <v/>
      </c>
    </row>
    <row r="10">
      <c r="A10" s="4" t="inlineStr">
        <is>
          <t>Negociando</t>
        </is>
      </c>
      <c r="B10" s="3">
        <f>COUNTIF(Prospectos!$H:$H,A10)</f>
        <v/>
      </c>
    </row>
    <row r="11">
      <c r="A11" s="4" t="inlineStr">
        <is>
          <t>Cliente</t>
        </is>
      </c>
      <c r="B11" s="3">
        <f>COUNTIF(Prospectos!$H:$H,A11)</f>
        <v/>
      </c>
    </row>
    <row r="12">
      <c r="A12" s="4" t="inlineStr">
        <is>
          <t>Perdido</t>
        </is>
      </c>
      <c r="B12" s="3">
        <f>COUNTIF(Prospectos!$H:$H,A12)</f>
        <v/>
      </c>
    </row>
    <row r="13">
      <c r="A13" s="4" t="inlineStr">
        <is>
          <t>No molestar</t>
        </is>
      </c>
      <c r="B13" s="3">
        <f>COUNTIF(Prospectos!$H:$H,A13)</f>
        <v/>
      </c>
    </row>
    <row r="14">
      <c r="A14" s="7" t="inlineStr">
        <is>
          <t>TOTAL cargados</t>
        </is>
      </c>
      <c r="B14" s="8">
        <f>SUM(B5:B13)</f>
        <v/>
      </c>
    </row>
    <row r="16">
      <c r="A16" s="9" t="inlineStr">
        <is>
          <t>Meta de la semana: 3 en 'Demo agendada' o más avanzados.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Cómo usar esta planilla</t>
        </is>
      </c>
    </row>
    <row r="2">
      <c r="A2" s="11" t="inlineStr"/>
    </row>
    <row r="3">
      <c r="A3" s="11" t="inlineStr">
        <is>
          <t>1) Cargá prospectos en la hoja 'Prospectos' (uno por fila). Empezá por los de score alto.</t>
        </is>
      </c>
    </row>
    <row r="4">
      <c r="A4" s="11" t="inlineStr">
        <is>
          <t>2) Estado y Fuente se eligen de la lista desplegable (clic en la celda → flecha).</t>
        </is>
      </c>
    </row>
    <row r="5">
      <c r="A5" s="11" t="inlineStr">
        <is>
          <t>3) SIEMPRE poné 'Próximo contacto' con fecha a quien mostró interés. Ahí está la plata.</t>
        </is>
      </c>
    </row>
    <row r="6">
      <c r="A6" s="11" t="inlineStr">
        <is>
          <t>4) La hoja 'Embudo' te cuenta sola cuántos tenés en cada etapa.</t>
        </is>
      </c>
    </row>
    <row r="7">
      <c r="A7" s="11" t="inlineStr"/>
    </row>
    <row r="8">
      <c r="A8" s="12" t="inlineStr">
        <is>
          <t>Cómo puntuar el Score (0-100) — a quién ir primero:</t>
        </is>
      </c>
    </row>
    <row r="9">
      <c r="A9" s="11" t="inlineStr">
        <is>
          <t xml:space="preserve">  +30  Tiene Instagram activo (ya invierte en lo digital)</t>
        </is>
      </c>
    </row>
    <row r="10">
      <c r="A10" s="11" t="inlineStr">
        <is>
          <t xml:space="preserve">  +30  Más de 50 reseñas en Google (volumen de clientas real)</t>
        </is>
      </c>
    </row>
    <row r="11">
      <c r="A11" s="11" t="inlineStr">
        <is>
          <t xml:space="preserve">  +25  NO tiene sistema de reservas online (no usa AgendaPro/Booksy)</t>
        </is>
      </c>
    </row>
    <row r="12">
      <c r="A12" s="11" t="inlineStr">
        <is>
          <t xml:space="preserve">  +15  Responde rápido los mensajes</t>
        </is>
      </c>
    </row>
    <row r="13">
      <c r="A13" s="11" t="inlineStr">
        <is>
          <t xml:space="preserve">  → 80-100 = visitá primero. 50-79 = segunda ronda. &lt;50 = relleno.</t>
        </is>
      </c>
    </row>
    <row r="14">
      <c r="A14" s="11" t="inlineStr"/>
    </row>
    <row r="15">
      <c r="A15" s="12" t="inlineStr">
        <is>
          <t>Estados del embudo:</t>
        </is>
      </c>
    </row>
    <row r="16">
      <c r="A16" s="11" t="inlineStr">
        <is>
          <t xml:space="preserve">  Nuevo → Contactado → Respondió → Demo agendada → Demo hecha → Negociando → Cliente</t>
        </is>
      </c>
    </row>
    <row r="17">
      <c r="A17" s="11" t="inlineStr">
        <is>
          <t xml:space="preserve">  (o Perdido / No molestar si dice que 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2026-06-21T03:20:09Z</dcterms:created>
  <dcterms:modified xsi:type="dcterms:W3CDTF">2026-06-21T03:20:09Z</dcterms:modified>
</cp:coreProperties>
</file>